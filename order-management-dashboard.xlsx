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mai\excel-projects\"/>
    </mc:Choice>
  </mc:AlternateContent>
  <xr:revisionPtr revIDLastSave="0" documentId="8_{55A07630-D3E7-4A21-A23D-CE62AFE955AE}" xr6:coauthVersionLast="47" xr6:coauthVersionMax="47" xr10:uidLastSave="{00000000-0000-0000-0000-000000000000}"/>
  <bookViews>
    <workbookView xWindow="10718" yWindow="0" windowWidth="10965" windowHeight="11512" xr2:uid="{13DBECB9-5BE3-482D-8038-E9E9011B1F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2" i="1" l="1"/>
  <c r="F2" i="1"/>
  <c r="F3" i="1"/>
  <c r="F4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<sst xmlns="http://schemas.openxmlformats.org/spreadsheetml/2006/main" count="58" uniqueCount="40">
  <si>
    <t>Customer</t>
  </si>
  <si>
    <t>Product</t>
  </si>
  <si>
    <t>Quantity</t>
  </si>
  <si>
    <t>Unit Price</t>
  </si>
  <si>
    <t>Total</t>
  </si>
  <si>
    <t>Order ID</t>
  </si>
  <si>
    <t>Order Date</t>
  </si>
  <si>
    <t>Status</t>
  </si>
  <si>
    <t>AK-2026-047</t>
  </si>
  <si>
    <t>AK-2026-048</t>
  </si>
  <si>
    <t>AK-2026-049</t>
  </si>
  <si>
    <t>AK-2026-050</t>
  </si>
  <si>
    <t>AK-2026-051</t>
  </si>
  <si>
    <t>AK-2026-052</t>
  </si>
  <si>
    <t>AK-2026-053</t>
  </si>
  <si>
    <t>AK-2026-054</t>
  </si>
  <si>
    <t>AK-2026-055</t>
  </si>
  <si>
    <t>AK-2026-056</t>
  </si>
  <si>
    <t>Müller GmbH</t>
  </si>
  <si>
    <t>Becker &amp; Co.</t>
  </si>
  <si>
    <t>Alpine Trading</t>
  </si>
  <si>
    <t>Fischer AG</t>
  </si>
  <si>
    <t>Weber KG</t>
  </si>
  <si>
    <t>Schmidt AG</t>
  </si>
  <si>
    <t>Glycerin 500ml</t>
  </si>
  <si>
    <t>Glycerin 1L</t>
  </si>
  <si>
    <t>Glycerin 250ml</t>
  </si>
  <si>
    <t>03.01.2026</t>
  </si>
  <si>
    <t>11.01.2026</t>
  </si>
  <si>
    <t>19.01.2026</t>
  </si>
  <si>
    <t>28.01.2026</t>
  </si>
  <si>
    <t>06.02.2026</t>
  </si>
  <si>
    <t>14.02.2026</t>
  </si>
  <si>
    <t>22.02.2026</t>
  </si>
  <si>
    <t>03.03.2026</t>
  </si>
  <si>
    <t>15.03.2026</t>
  </si>
  <si>
    <t>27.03.2026</t>
  </si>
  <si>
    <t>Delivered</t>
  </si>
  <si>
    <t>Pending</t>
  </si>
  <si>
    <t>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</si>
</sst>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 [$€-2]\ * #,##0.00_ ;_ [$€-2]\ * \-#,##0.00_ ;_ [$€-2]\ * &quot;-&quot;??_ ;_ @_ 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theme="3" tint="0.74996185186315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170A3-1E2F-483C-9760-B9B764747658}">
  <dimension ref="A1:H13"/>
  <sheetViews>
    <sheetView tabSelected="1" workbookViewId="0">
      <selection activeCell="B16" sqref="B16"/>
    </sheetView>
  </sheetViews>
  <sheetFormatPr defaultRowHeight="14.25" x14ac:dyDescent="0.45"/>
  <cols>
    <col min="1" max="1" width="10.9296875" bestFit="1" customWidth="1"/>
    <col min="2" max="2" width="11.6640625" bestFit="1" customWidth="1"/>
    <col min="3" max="3" width="12.53125" bestFit="1" customWidth="1"/>
    <col min="5" max="6" width="10.796875" bestFit="1" customWidth="1"/>
    <col min="7" max="7" width="9.796875" bestFit="1" customWidth="1"/>
  </cols>
  <sheetData>
    <row r="1" spans="1:8" x14ac:dyDescent="0.45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</row>
    <row r="2" spans="1:8" x14ac:dyDescent="0.45">
      <c r="A2" t="s">
        <v>8</v>
      </c>
      <c r="B2" t="s">
        <v>18</v>
      </c>
      <c r="C2" t="s">
        <v>24</v>
      </c>
      <c r="D2">
        <v>87</v>
      </c>
      <c r="E2">
        <v>12.5</v>
      </c>
      <c r="F2" s="1">
        <f>D2*E2</f>
        <v>1087.5</v>
      </c>
      <c r="G2" t="s">
        <v>27</v>
      </c>
      <c r="H2" t="s">
        <v>37</v>
      </c>
    </row>
    <row r="3" spans="1:8" x14ac:dyDescent="0.45">
      <c r="A3" t="s">
        <v>9</v>
      </c>
      <c r="B3" t="s">
        <v>19</v>
      </c>
      <c r="C3" t="s">
        <v>25</v>
      </c>
      <c r="D3">
        <v>143</v>
      </c>
      <c r="E3">
        <v>22</v>
      </c>
      <c r="F3" s="1">
        <f t="shared" ref="F3:F11" si="0">D3*E3</f>
        <v>3146</v>
      </c>
      <c r="G3" t="s">
        <v>28</v>
      </c>
      <c r="H3" t="s">
        <v>38</v>
      </c>
    </row>
    <row r="4" spans="1:8" x14ac:dyDescent="0.45">
      <c r="A4" t="s">
        <v>10</v>
      </c>
      <c r="B4" t="s">
        <v>18</v>
      </c>
      <c r="C4" t="s">
        <v>26</v>
      </c>
      <c r="D4">
        <v>32</v>
      </c>
      <c r="E4">
        <v>8.75</v>
      </c>
      <c r="F4" s="1">
        <f t="shared" si="0"/>
        <v>280</v>
      </c>
      <c r="G4" t="s">
        <v>29</v>
      </c>
      <c r="H4" t="s">
        <v>39</v>
      </c>
    </row>
    <row r="5" spans="1:8" x14ac:dyDescent="0.45">
      <c r="A5" t="s">
        <v>11</v>
      </c>
      <c r="B5" t="s">
        <v>20</v>
      </c>
      <c r="C5" t="s">
        <v>24</v>
      </c>
      <c r="D5">
        <v>211</v>
      </c>
      <c r="E5">
        <v>12.5</v>
      </c>
      <c r="F5" s="1">
        <f t="shared" si="0"/>
        <v>2637.5</v>
      </c>
      <c r="G5" t="s">
        <v>30</v>
      </c>
      <c r="H5" t="s">
        <v>37</v>
      </c>
    </row>
    <row r="6" spans="1:8" x14ac:dyDescent="0.45">
      <c r="A6" t="s">
        <v>12</v>
      </c>
      <c r="B6" t="s">
        <v>21</v>
      </c>
      <c r="C6" t="s">
        <v>25</v>
      </c>
      <c r="D6">
        <v>67</v>
      </c>
      <c r="E6">
        <v>22</v>
      </c>
      <c r="F6" s="1">
        <f t="shared" si="0"/>
        <v>1474</v>
      </c>
      <c r="G6" t="s">
        <v>31</v>
      </c>
      <c r="H6" t="s">
        <v>37</v>
      </c>
    </row>
    <row r="7" spans="1:8" x14ac:dyDescent="0.45">
      <c r="A7" t="s">
        <v>13</v>
      </c>
      <c r="B7" t="s">
        <v>22</v>
      </c>
      <c r="C7" t="s">
        <v>26</v>
      </c>
      <c r="D7">
        <v>94</v>
      </c>
      <c r="E7">
        <v>8.75</v>
      </c>
      <c r="F7" s="1">
        <f t="shared" si="0"/>
        <v>822.5</v>
      </c>
      <c r="G7" t="s">
        <v>32</v>
      </c>
      <c r="H7" t="s">
        <v>38</v>
      </c>
    </row>
    <row r="8" spans="1:8" x14ac:dyDescent="0.45">
      <c r="A8" t="s">
        <v>14</v>
      </c>
      <c r="B8" t="s">
        <v>19</v>
      </c>
      <c r="C8" t="s">
        <v>24</v>
      </c>
      <c r="D8">
        <v>178</v>
      </c>
      <c r="E8">
        <v>12.5</v>
      </c>
      <c r="F8" s="1">
        <f t="shared" si="0"/>
        <v>2225</v>
      </c>
      <c r="G8" t="s">
        <v>33</v>
      </c>
      <c r="H8" t="s">
        <v>39</v>
      </c>
    </row>
    <row r="9" spans="1:8" x14ac:dyDescent="0.45">
      <c r="A9" t="s">
        <v>15</v>
      </c>
      <c r="B9" t="s">
        <v>23</v>
      </c>
      <c r="C9" t="s">
        <v>25</v>
      </c>
      <c r="D9">
        <v>55</v>
      </c>
      <c r="E9">
        <v>22</v>
      </c>
      <c r="F9" s="1">
        <f t="shared" si="0"/>
        <v>1210</v>
      </c>
      <c r="G9" t="s">
        <v>34</v>
      </c>
      <c r="H9" t="s">
        <v>37</v>
      </c>
    </row>
    <row r="10" spans="1:8" x14ac:dyDescent="0.45">
      <c r="A10" t="s">
        <v>16</v>
      </c>
      <c r="B10" t="s">
        <v>20</v>
      </c>
      <c r="C10" t="s">
        <v>26</v>
      </c>
      <c r="D10">
        <v>121</v>
      </c>
      <c r="E10">
        <v>8.75</v>
      </c>
      <c r="F10" s="1">
        <f t="shared" si="0"/>
        <v>1058.75</v>
      </c>
      <c r="G10" t="s">
        <v>35</v>
      </c>
      <c r="H10" t="s">
        <v>38</v>
      </c>
    </row>
    <row r="11" spans="1:8" x14ac:dyDescent="0.45">
      <c r="A11" t="s">
        <v>17</v>
      </c>
      <c r="B11" t="s">
        <v>21</v>
      </c>
      <c r="C11" t="s">
        <v>24</v>
      </c>
      <c r="D11">
        <v>43</v>
      </c>
      <c r="E11">
        <v>12.5</v>
      </c>
      <c r="F11" s="1">
        <f t="shared" si="0"/>
        <v>537.5</v>
      </c>
      <c r="G11" t="s">
        <v>36</v>
      </c>
      <c r="H11" t="s">
        <v>39</v>
      </c>
    </row>
    <row r="12" spans="1:8" x14ac:dyDescent="0.45">
      <c r="F12" s="1">
        <f>SUM(F2:F11)</f>
        <v>14478.75</v>
      </c>
    </row>
    <row r="13" spans="1:8" x14ac:dyDescent="0.45">
      <c r="F13" s="1"/>
    </row>
  </sheetData>
  <phoneticPr fontId="2" type="noConversion"/>
  <conditionalFormatting sqref="H2:H11">
    <cfRule type="containsText" dxfId="2" priority="3" operator="containsText" text="Delivered">
      <formula>NOT(ISERROR(SEARCH("Delivered",H2)))</formula>
    </cfRule>
  </conditionalFormatting>
  <conditionalFormatting sqref="H2:H11">
    <cfRule type="containsText" dxfId="1" priority="2" operator="containsText" text="Pending">
      <formula>NOT(ISERROR(SEARCH("Pending",H2)))</formula>
    </cfRule>
  </conditionalFormatting>
  <conditionalFormatting sqref="H2:H11">
    <cfRule type="containsText" dxfId="0" priority="1" operator="containsText" text="Shipped">
      <formula>NOT(ISERROR(SEARCH("Shipped",H2)))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kvm</dc:creator>
  <cp:lastModifiedBy>Aishwarya kvm</cp:lastModifiedBy>
  <dcterms:created xsi:type="dcterms:W3CDTF">2026-05-30T12:01:02Z</dcterms:created>
  <dcterms:modified xsi:type="dcterms:W3CDTF">2026-05-30T12:33:26Z</dcterms:modified>
</cp:coreProperties>
</file>